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ID\Project\11_FordCreighton-MotorController\DOCs\"/>
    </mc:Choice>
  </mc:AlternateContent>
  <xr:revisionPtr revIDLastSave="0" documentId="13_ncr:1_{9B2D100B-231C-48F5-911A-B2D931CAAC14}" xr6:coauthVersionLast="47" xr6:coauthVersionMax="47" xr10:uidLastSave="{00000000-0000-0000-0000-000000000000}"/>
  <bookViews>
    <workbookView xWindow="-120" yWindow="-120" windowWidth="29040" windowHeight="15840" xr2:uid="{A189796E-8F83-4696-9A9D-D3FA67293E0B}"/>
  </bookViews>
  <sheets>
    <sheet name="Current consumption" sheetId="1" r:id="rId1"/>
    <sheet name="Аркуш2" sheetId="2" r:id="rId2"/>
    <sheet name="SPI-Speed" sheetId="3" r:id="rId3"/>
    <sheet name="Connecto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2" l="1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5" i="1"/>
  <c r="I16" i="1"/>
  <c r="I17" i="1"/>
  <c r="I18" i="1"/>
  <c r="I19" i="1"/>
  <c r="I20" i="1"/>
  <c r="I21" i="1"/>
  <c r="I22" i="1"/>
  <c r="I23" i="1"/>
  <c r="I14" i="1"/>
  <c r="I13" i="1"/>
  <c r="I12" i="1"/>
  <c r="I11" i="1"/>
  <c r="I10" i="1"/>
  <c r="I9" i="1"/>
  <c r="I8" i="1"/>
  <c r="I7" i="1"/>
  <c r="I4" i="1"/>
  <c r="I5" i="1"/>
  <c r="I6" i="1"/>
  <c r="I3" i="1"/>
</calcChain>
</file>

<file path=xl/sharedStrings.xml><?xml version="1.0" encoding="utf-8"?>
<sst xmlns="http://schemas.openxmlformats.org/spreadsheetml/2006/main" count="484" uniqueCount="211">
  <si>
    <t>Component</t>
  </si>
  <si>
    <t>Quantity</t>
  </si>
  <si>
    <t>Voltage</t>
  </si>
  <si>
    <t>TMS320F28377S-Q1</t>
  </si>
  <si>
    <t>+3V3</t>
  </si>
  <si>
    <t xml:space="preserve"> VDDIO</t>
  </si>
  <si>
    <t xml:space="preserve"> AVDD</t>
  </si>
  <si>
    <t>Supplied devices current</t>
  </si>
  <si>
    <t>3VFL</t>
  </si>
  <si>
    <t>+1V2</t>
  </si>
  <si>
    <t>VDD</t>
  </si>
  <si>
    <t>Common</t>
  </si>
  <si>
    <t>SN74LVC138AMPWTEP</t>
  </si>
  <si>
    <t>Current (max), mA</t>
  </si>
  <si>
    <t>MT25QL01GBBB8E12-0AUT</t>
  </si>
  <si>
    <t>25LC256-H/SN</t>
  </si>
  <si>
    <t>EEPROM Memory</t>
  </si>
  <si>
    <t>Flash Memory</t>
  </si>
  <si>
    <t>MCU</t>
  </si>
  <si>
    <t>IC DECODER/DEMUX 1X3:8</t>
  </si>
  <si>
    <t>TMP127EDBVRQ1</t>
  </si>
  <si>
    <t>Temp Sensor</t>
  </si>
  <si>
    <t>SCA3100-D07-1</t>
  </si>
  <si>
    <t>ACCELEROMETER 6G</t>
  </si>
  <si>
    <t>ADXL382-2BCCZ-RL7</t>
  </si>
  <si>
    <t>ACCELEROMETER 60G</t>
  </si>
  <si>
    <t>Accelerometer</t>
  </si>
  <si>
    <t>EEPROM</t>
  </si>
  <si>
    <t>Flash</t>
  </si>
  <si>
    <t>LIST</t>
  </si>
  <si>
    <t>H-bridge</t>
  </si>
  <si>
    <t>A89500KEJSR</t>
  </si>
  <si>
    <t>+12v</t>
  </si>
  <si>
    <t>Phase Current_Voltage Sense</t>
  </si>
  <si>
    <t xml:space="preserve">IC GATE DRVR HALF-BRIDGE </t>
  </si>
  <si>
    <t>INA240A1EDRQ1</t>
  </si>
  <si>
    <t xml:space="preserve">IC CURRENT SENSE </t>
  </si>
  <si>
    <t>REF3333AIDBZR</t>
  </si>
  <si>
    <t xml:space="preserve">IC VREF SERIES 0.15% </t>
  </si>
  <si>
    <t>+5V0</t>
  </si>
  <si>
    <t>TLV3201AIDBVR</t>
  </si>
  <si>
    <t>IC COMPARATOR</t>
  </si>
  <si>
    <t>SN74LVC1G332DCKR</t>
  </si>
  <si>
    <t>IC GATE OR 1CH 3-INP</t>
  </si>
  <si>
    <t>Resolver</t>
  </si>
  <si>
    <t>ALM2403QPWPRQ1</t>
  </si>
  <si>
    <t>IC OPAMP GP 2 CIRCUIT</t>
  </si>
  <si>
    <t>+15V</t>
  </si>
  <si>
    <t>PGA970QPHPR</t>
  </si>
  <si>
    <t>IC SGNL CONDITIONER LVDT</t>
  </si>
  <si>
    <t>Pressure_sensor_AFE</t>
  </si>
  <si>
    <t>PGA900ARHHR</t>
  </si>
  <si>
    <t xml:space="preserve">IC PROG SENSOR SGNL COND </t>
  </si>
  <si>
    <t>PCA8565TS/1,118</t>
  </si>
  <si>
    <t>CALENDAR</t>
  </si>
  <si>
    <t>IC RTC CLK/CALENDAR</t>
  </si>
  <si>
    <t>Description</t>
  </si>
  <si>
    <t>+12V</t>
  </si>
  <si>
    <t>up to 60mA</t>
  </si>
  <si>
    <t>up to 50mA</t>
  </si>
  <si>
    <t>up to 400mA</t>
  </si>
  <si>
    <t>up to 20mA</t>
  </si>
  <si>
    <t>up to 650mA</t>
  </si>
  <si>
    <t>x8</t>
  </si>
  <si>
    <t>TempSens</t>
  </si>
  <si>
    <t>Resolver AFE</t>
  </si>
  <si>
    <t>Maximum SPI Working Frequency</t>
  </si>
  <si>
    <t>x1</t>
  </si>
  <si>
    <t>x5</t>
  </si>
  <si>
    <t>SPI C</t>
  </si>
  <si>
    <t>SPI B</t>
  </si>
  <si>
    <t>SPI A</t>
  </si>
  <si>
    <t>Pressure sensor AFE1</t>
  </si>
  <si>
    <t>Pressure sensor AFE2</t>
  </si>
  <si>
    <t>Pressure sensor AFE3</t>
  </si>
  <si>
    <t>Pressure sensor AFE4</t>
  </si>
  <si>
    <t>Pressure sensor AFE5</t>
  </si>
  <si>
    <t>SPI CS PIN</t>
  </si>
  <si>
    <t>PS_EN_1</t>
  </si>
  <si>
    <t>PS_EN_2</t>
  </si>
  <si>
    <t>PS_EN_3</t>
  </si>
  <si>
    <t>PS_EN_4</t>
  </si>
  <si>
    <t>PS_EN_5</t>
  </si>
  <si>
    <t>GPIO59</t>
  </si>
  <si>
    <t>GPIO62</t>
  </si>
  <si>
    <t>GPIO63</t>
  </si>
  <si>
    <t>GPIO64</t>
  </si>
  <si>
    <t>GPIO65</t>
  </si>
  <si>
    <t>GPIO66</t>
  </si>
  <si>
    <t>IC connection</t>
  </si>
  <si>
    <t>Type</t>
  </si>
  <si>
    <t>PGA970_SPI_CSN</t>
  </si>
  <si>
    <t>SPI_A_EN</t>
  </si>
  <si>
    <t>GPIO19</t>
  </si>
  <si>
    <t>SPI_EEPROM_CS</t>
  </si>
  <si>
    <t>GPIO2</t>
  </si>
  <si>
    <t>SPI_TEMP_\C\S\</t>
  </si>
  <si>
    <t>GPIO86</t>
  </si>
  <si>
    <t>GPIO72(+73,78,86)</t>
  </si>
  <si>
    <t>SPI_C_EN</t>
  </si>
  <si>
    <t>I/O</t>
  </si>
  <si>
    <t>Port Name</t>
  </si>
  <si>
    <t>SPI Port#</t>
  </si>
  <si>
    <t>SPI A/B/C</t>
  </si>
  <si>
    <t>1 MHz (MAX)</t>
  </si>
  <si>
    <t>8 MHz (MAX)</t>
  </si>
  <si>
    <t>10 MHz (Max)</t>
  </si>
  <si>
    <t>3 MHz (at +3,3V)</t>
  </si>
  <si>
    <t>90/27 (fC/fR)- Clock frequency</t>
  </si>
  <si>
    <t>3 high-speed SPI- UP to 50 MHz</t>
  </si>
  <si>
    <t>Black</t>
  </si>
  <si>
    <t>Brown</t>
  </si>
  <si>
    <t>Red</t>
  </si>
  <si>
    <t>Orange</t>
  </si>
  <si>
    <t>Yellow</t>
  </si>
  <si>
    <t>Green</t>
  </si>
  <si>
    <t>Blue</t>
  </si>
  <si>
    <t>Violet</t>
  </si>
  <si>
    <t>Gray</t>
  </si>
  <si>
    <t>White</t>
  </si>
  <si>
    <t>Color</t>
  </si>
  <si>
    <t>Signal</t>
  </si>
  <si>
    <t>PCB connection</t>
  </si>
  <si>
    <t>n.a.</t>
  </si>
  <si>
    <t>Contact #</t>
  </si>
  <si>
    <t>X31</t>
  </si>
  <si>
    <t>X32</t>
  </si>
  <si>
    <t>Battery connection</t>
  </si>
  <si>
    <t>Motor connection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</si>
  <si>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</si>
  <si>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</si>
  <si>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</si>
  <si>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</si>
  <si>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</si>
  <si>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</si>
  <si>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</si>
  <si>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</si>
  <si>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</si>
  <si>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</si>
  <si>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</si>
  <si>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</si>
  <si>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</si>
  <si>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</si>
  <si>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</si>
  <si>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</si>
  <si>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</si>
  <si>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</si>
  <si>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</si>
  <si>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</si>
  <si>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</si>
  <si>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</si>
  <si>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</si>
  <si>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</si>
  <si>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VBRGP1</t>
  </si>
  <si>
    <t>VBRGP2</t>
  </si>
  <si>
    <t>VBRGP3</t>
  </si>
  <si>
    <t>VBRGP4</t>
  </si>
  <si>
    <t>VBRGP5</t>
  </si>
  <si>
    <t>VBRGN1</t>
  </si>
  <si>
    <t>VBRGN2</t>
  </si>
  <si>
    <t>VBRGN3</t>
  </si>
  <si>
    <t>VBRGN4</t>
  </si>
  <si>
    <t>VBRGN5</t>
  </si>
  <si>
    <t>VINPP1</t>
  </si>
  <si>
    <t>VINPP2</t>
  </si>
  <si>
    <t>VINPP3</t>
  </si>
  <si>
    <t>VINPP4</t>
  </si>
  <si>
    <t>VINPP5</t>
  </si>
  <si>
    <t>VINPN1</t>
  </si>
  <si>
    <t>VINPN2</t>
  </si>
  <si>
    <t>VINPN3</t>
  </si>
  <si>
    <t>VINPN4</t>
  </si>
  <si>
    <t>VINPN5</t>
  </si>
  <si>
    <t>Battery</t>
  </si>
  <si>
    <t>GND</t>
  </si>
  <si>
    <t>Vin</t>
  </si>
  <si>
    <t>Pressure sensor1</t>
  </si>
  <si>
    <t>Pressure sensor2</t>
  </si>
  <si>
    <t>Pressure sensor3</t>
  </si>
  <si>
    <t>Pressure sensor4</t>
  </si>
  <si>
    <t>Pressure sensor5</t>
  </si>
  <si>
    <t>X1</t>
  </si>
  <si>
    <t>X2</t>
  </si>
  <si>
    <t>X3</t>
  </si>
  <si>
    <t>X4</t>
  </si>
  <si>
    <t>X5</t>
  </si>
  <si>
    <t>X6</t>
  </si>
  <si>
    <t>Motor</t>
  </si>
  <si>
    <t>P1OUT</t>
  </si>
  <si>
    <t>P2OUT</t>
  </si>
  <si>
    <t>S1P_IN</t>
  </si>
  <si>
    <t>S1N_IN</t>
  </si>
  <si>
    <t>S2P_IN</t>
  </si>
  <si>
    <t>S2N_IN</t>
  </si>
  <si>
    <t>X33.</t>
  </si>
  <si>
    <t>n.a</t>
  </si>
  <si>
    <t>X34</t>
  </si>
  <si>
    <t>X35</t>
  </si>
  <si>
    <t>AWG 20 wires</t>
  </si>
  <si>
    <t>AWG 26 wires</t>
  </si>
  <si>
    <t>External equipment</t>
  </si>
  <si>
    <t xml:space="preserve"> Winding 1</t>
  </si>
  <si>
    <t xml:space="preserve"> Winding 2</t>
  </si>
  <si>
    <t xml:space="preserve"> Winding 3</t>
  </si>
  <si>
    <t>USB_CON_D_P</t>
  </si>
  <si>
    <t>USB_CON_D_N</t>
  </si>
  <si>
    <t>VBUS</t>
  </si>
  <si>
    <t>USB_GND</t>
  </si>
  <si>
    <t>USB</t>
  </si>
  <si>
    <t>Common, mA</t>
  </si>
  <si>
    <t>Max. Current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</si>
</sst>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theme="2" tint="-0.499984740745262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6802B-7954-4749-8A2D-36F979FCA091}">
  <dimension ref="A2:I32"/>
  <sheetViews>
    <sheetView tabSelected="1" workbookViewId="0">
      <selection activeCell="I22" sqref="I22"/>
    </sheetView>
  </sheetViews>
  <sheetFormatPr defaultRowHeight="15" x14ac:dyDescent="0.25"/>
  <cols>
    <col min="1" max="1" width="27.7109375" style="2" customWidth="1"/>
    <col min="2" max="3" width="27.42578125" style="2" customWidth="1"/>
    <col min="4" max="6" width="9.140625" style="2"/>
    <col min="7" max="7" width="14" style="2" customWidth="1"/>
    <col min="8" max="8" width="16" style="2" customWidth="1"/>
    <col min="9" max="9" width="14.42578125" style="2" customWidth="1"/>
    <col min="10" max="16384" width="9.140625" style="2"/>
  </cols>
  <sheetData>
    <row r="2" spans="1:9" ht="30" x14ac:dyDescent="0.25">
      <c r="A2" s="2" t="s">
        <v>29</v>
      </c>
      <c r="B2" s="1" t="s">
        <v>0</v>
      </c>
      <c r="C2" s="1" t="s">
        <v>56</v>
      </c>
      <c r="D2" s="1" t="s">
        <v>1</v>
      </c>
      <c r="E2" s="1" t="s">
        <v>2</v>
      </c>
      <c r="F2" s="1"/>
      <c r="G2" s="1" t="s">
        <v>13</v>
      </c>
      <c r="H2" s="1" t="s">
        <v>7</v>
      </c>
      <c r="I2" s="2" t="s">
        <v>209</v>
      </c>
    </row>
    <row r="3" spans="1:9" x14ac:dyDescent="0.25">
      <c r="A3" s="2" t="s">
        <v>18</v>
      </c>
      <c r="B3" s="2" t="s">
        <v>3</v>
      </c>
      <c r="C3" s="2" t="s">
        <v>18</v>
      </c>
      <c r="D3" s="2">
        <v>1</v>
      </c>
      <c r="E3" s="3" t="s">
        <v>4</v>
      </c>
      <c r="F3" s="3" t="s">
        <v>5</v>
      </c>
      <c r="G3" s="2">
        <v>30</v>
      </c>
      <c r="H3" s="2">
        <v>0</v>
      </c>
      <c r="I3" s="2">
        <f t="shared" ref="I3:I23" si="0">D3*(G3+H3)</f>
        <v>30</v>
      </c>
    </row>
    <row r="4" spans="1:9" x14ac:dyDescent="0.25">
      <c r="A4" s="2" t="s">
        <v>18</v>
      </c>
      <c r="B4" s="2" t="s">
        <v>3</v>
      </c>
      <c r="C4" s="2" t="s">
        <v>18</v>
      </c>
      <c r="D4" s="2">
        <v>1</v>
      </c>
      <c r="E4" s="3" t="s">
        <v>4</v>
      </c>
      <c r="F4" s="3" t="s">
        <v>6</v>
      </c>
      <c r="G4" s="2">
        <v>20</v>
      </c>
      <c r="H4" s="2">
        <v>0</v>
      </c>
      <c r="I4" s="2">
        <f t="shared" si="0"/>
        <v>20</v>
      </c>
    </row>
    <row r="5" spans="1:9" x14ac:dyDescent="0.25">
      <c r="A5" s="2" t="s">
        <v>18</v>
      </c>
      <c r="B5" s="2" t="s">
        <v>3</v>
      </c>
      <c r="C5" s="2" t="s">
        <v>18</v>
      </c>
      <c r="D5" s="2">
        <v>1</v>
      </c>
      <c r="E5" s="3" t="s">
        <v>4</v>
      </c>
      <c r="F5" s="2" t="s">
        <v>8</v>
      </c>
      <c r="G5" s="2">
        <v>40</v>
      </c>
      <c r="H5" s="2">
        <v>0</v>
      </c>
      <c r="I5" s="2">
        <f t="shared" si="0"/>
        <v>40</v>
      </c>
    </row>
    <row r="6" spans="1:9" x14ac:dyDescent="0.25">
      <c r="A6" s="2" t="s">
        <v>18</v>
      </c>
      <c r="B6" s="2" t="s">
        <v>3</v>
      </c>
      <c r="C6" s="2" t="s">
        <v>18</v>
      </c>
      <c r="D6" s="2">
        <v>1</v>
      </c>
      <c r="E6" s="7" t="s">
        <v>9</v>
      </c>
      <c r="F6" s="3" t="s">
        <v>10</v>
      </c>
      <c r="G6" s="2">
        <v>400</v>
      </c>
      <c r="H6" s="2">
        <v>0</v>
      </c>
      <c r="I6" s="2">
        <f t="shared" si="0"/>
        <v>400</v>
      </c>
    </row>
    <row r="7" spans="1:9" x14ac:dyDescent="0.25">
      <c r="A7" s="2" t="s">
        <v>28</v>
      </c>
      <c r="B7" s="2" t="s">
        <v>12</v>
      </c>
      <c r="C7" s="2" t="s">
        <v>19</v>
      </c>
      <c r="D7" s="2">
        <v>1</v>
      </c>
      <c r="E7" s="3" t="s">
        <v>4</v>
      </c>
      <c r="G7" s="2">
        <v>55</v>
      </c>
      <c r="H7" s="2">
        <v>0</v>
      </c>
      <c r="I7" s="2">
        <f t="shared" si="0"/>
        <v>55</v>
      </c>
    </row>
    <row r="8" spans="1:9" x14ac:dyDescent="0.25">
      <c r="A8" s="2" t="s">
        <v>28</v>
      </c>
      <c r="B8" s="2" t="s">
        <v>14</v>
      </c>
      <c r="C8" s="2" t="s">
        <v>17</v>
      </c>
      <c r="D8" s="2">
        <v>8</v>
      </c>
      <c r="E8" s="3" t="s">
        <v>4</v>
      </c>
      <c r="G8" s="2">
        <v>1</v>
      </c>
      <c r="H8" s="2">
        <v>0</v>
      </c>
      <c r="I8" s="2">
        <f t="shared" si="0"/>
        <v>8</v>
      </c>
    </row>
    <row r="9" spans="1:9" x14ac:dyDescent="0.25">
      <c r="A9" s="2" t="s">
        <v>28</v>
      </c>
      <c r="B9" s="2" t="s">
        <v>14</v>
      </c>
      <c r="C9" s="2" t="s">
        <v>17</v>
      </c>
      <c r="D9" s="2">
        <v>1</v>
      </c>
      <c r="E9" s="3" t="s">
        <v>4</v>
      </c>
      <c r="G9" s="2">
        <v>55</v>
      </c>
      <c r="H9" s="2">
        <v>0</v>
      </c>
      <c r="I9" s="2">
        <f t="shared" si="0"/>
        <v>55</v>
      </c>
    </row>
    <row r="10" spans="1:9" x14ac:dyDescent="0.25">
      <c r="A10" s="2" t="s">
        <v>27</v>
      </c>
      <c r="B10" s="2" t="s">
        <v>15</v>
      </c>
      <c r="C10" s="2" t="s">
        <v>16</v>
      </c>
      <c r="D10" s="2">
        <v>1</v>
      </c>
      <c r="E10" s="3" t="s">
        <v>4</v>
      </c>
      <c r="G10" s="2">
        <v>5</v>
      </c>
      <c r="H10" s="2">
        <v>0</v>
      </c>
      <c r="I10" s="2">
        <f t="shared" si="0"/>
        <v>5</v>
      </c>
    </row>
    <row r="11" spans="1:9" x14ac:dyDescent="0.25">
      <c r="A11" s="2" t="s">
        <v>21</v>
      </c>
      <c r="B11" s="2" t="s">
        <v>20</v>
      </c>
      <c r="C11" s="2" t="s">
        <v>21</v>
      </c>
      <c r="D11" s="2">
        <v>1</v>
      </c>
      <c r="E11" s="3" t="s">
        <v>4</v>
      </c>
      <c r="G11" s="2">
        <v>1</v>
      </c>
      <c r="H11" s="2">
        <v>0</v>
      </c>
      <c r="I11" s="2">
        <f t="shared" si="0"/>
        <v>1</v>
      </c>
    </row>
    <row r="12" spans="1:9" x14ac:dyDescent="0.25">
      <c r="A12" s="2" t="s">
        <v>26</v>
      </c>
      <c r="B12" s="2" t="s">
        <v>22</v>
      </c>
      <c r="C12" s="2" t="s">
        <v>23</v>
      </c>
      <c r="D12" s="2">
        <v>1</v>
      </c>
      <c r="E12" s="3" t="s">
        <v>4</v>
      </c>
      <c r="G12" s="2">
        <v>5</v>
      </c>
      <c r="H12" s="2">
        <v>0</v>
      </c>
      <c r="I12" s="2">
        <f t="shared" si="0"/>
        <v>5</v>
      </c>
    </row>
    <row r="13" spans="1:9" x14ac:dyDescent="0.25">
      <c r="A13" s="2" t="s">
        <v>26</v>
      </c>
      <c r="B13" s="2" t="s">
        <v>24</v>
      </c>
      <c r="C13" s="2" t="s">
        <v>25</v>
      </c>
      <c r="D13" s="2">
        <v>1</v>
      </c>
      <c r="E13" s="3" t="s">
        <v>4</v>
      </c>
      <c r="G13" s="2">
        <v>1</v>
      </c>
      <c r="H13" s="2">
        <v>0</v>
      </c>
      <c r="I13" s="2">
        <f t="shared" si="0"/>
        <v>1</v>
      </c>
    </row>
    <row r="14" spans="1:9" x14ac:dyDescent="0.25">
      <c r="A14" s="2" t="s">
        <v>30</v>
      </c>
      <c r="B14" s="2" t="s">
        <v>31</v>
      </c>
      <c r="C14" s="2" t="s">
        <v>34</v>
      </c>
      <c r="D14" s="2">
        <v>3</v>
      </c>
      <c r="E14" s="3" t="s">
        <v>4</v>
      </c>
      <c r="G14" s="2">
        <v>3</v>
      </c>
      <c r="H14" s="2">
        <v>0</v>
      </c>
      <c r="I14" s="2">
        <f t="shared" si="0"/>
        <v>9</v>
      </c>
    </row>
    <row r="15" spans="1:9" x14ac:dyDescent="0.25">
      <c r="A15" s="2" t="s">
        <v>30</v>
      </c>
      <c r="B15" s="2" t="s">
        <v>31</v>
      </c>
      <c r="C15" s="2" t="s">
        <v>34</v>
      </c>
      <c r="D15" s="2">
        <v>3</v>
      </c>
      <c r="E15" s="5" t="s">
        <v>32</v>
      </c>
      <c r="G15" s="6">
        <v>20</v>
      </c>
      <c r="H15" s="2">
        <v>0</v>
      </c>
      <c r="I15" s="2">
        <f t="shared" si="0"/>
        <v>60</v>
      </c>
    </row>
    <row r="16" spans="1:9" x14ac:dyDescent="0.25">
      <c r="A16" s="1" t="s">
        <v>33</v>
      </c>
      <c r="B16" s="2" t="s">
        <v>35</v>
      </c>
      <c r="C16" s="2" t="s">
        <v>36</v>
      </c>
      <c r="D16" s="2">
        <v>3</v>
      </c>
      <c r="E16" s="3" t="s">
        <v>4</v>
      </c>
      <c r="G16" s="2">
        <v>3</v>
      </c>
      <c r="H16" s="2">
        <v>0</v>
      </c>
      <c r="I16" s="2">
        <f t="shared" si="0"/>
        <v>9</v>
      </c>
    </row>
    <row r="17" spans="1:9" x14ac:dyDescent="0.25">
      <c r="A17" s="1" t="s">
        <v>33</v>
      </c>
      <c r="B17" s="2" t="s">
        <v>37</v>
      </c>
      <c r="C17" s="2" t="s">
        <v>38</v>
      </c>
      <c r="D17" s="2">
        <v>1</v>
      </c>
      <c r="E17" s="4" t="s">
        <v>39</v>
      </c>
      <c r="G17" s="2">
        <v>35</v>
      </c>
      <c r="H17" s="2">
        <v>0</v>
      </c>
      <c r="I17" s="2">
        <f t="shared" si="0"/>
        <v>35</v>
      </c>
    </row>
    <row r="18" spans="1:9" x14ac:dyDescent="0.25">
      <c r="A18" s="1" t="s">
        <v>33</v>
      </c>
      <c r="B18" s="2" t="s">
        <v>40</v>
      </c>
      <c r="C18" s="2" t="s">
        <v>41</v>
      </c>
      <c r="D18" s="2">
        <v>3</v>
      </c>
      <c r="E18" s="3" t="s">
        <v>4</v>
      </c>
      <c r="G18" s="2">
        <v>60</v>
      </c>
      <c r="H18" s="2">
        <v>0</v>
      </c>
      <c r="I18" s="2">
        <f t="shared" si="0"/>
        <v>180</v>
      </c>
    </row>
    <row r="19" spans="1:9" x14ac:dyDescent="0.25">
      <c r="A19" s="1" t="s">
        <v>33</v>
      </c>
      <c r="B19" s="2" t="s">
        <v>42</v>
      </c>
      <c r="C19" s="2" t="s">
        <v>43</v>
      </c>
      <c r="D19" s="2">
        <v>1</v>
      </c>
      <c r="E19" s="3" t="s">
        <v>4</v>
      </c>
      <c r="G19" s="2">
        <v>24</v>
      </c>
      <c r="H19" s="2">
        <v>0</v>
      </c>
      <c r="I19" s="2">
        <f t="shared" si="0"/>
        <v>24</v>
      </c>
    </row>
    <row r="20" spans="1:9" x14ac:dyDescent="0.25">
      <c r="A20" s="2" t="s">
        <v>44</v>
      </c>
      <c r="B20" s="2" t="s">
        <v>45</v>
      </c>
      <c r="C20" s="2" t="s">
        <v>46</v>
      </c>
      <c r="D20" s="2">
        <v>1</v>
      </c>
      <c r="E20" s="5" t="s">
        <v>47</v>
      </c>
      <c r="G20" s="2">
        <v>5.5</v>
      </c>
      <c r="H20" s="2">
        <v>0</v>
      </c>
      <c r="I20" s="2">
        <f t="shared" si="0"/>
        <v>5.5</v>
      </c>
    </row>
    <row r="21" spans="1:9" x14ac:dyDescent="0.25">
      <c r="A21" s="2" t="s">
        <v>44</v>
      </c>
      <c r="B21" s="2" t="s">
        <v>48</v>
      </c>
      <c r="C21" s="2" t="s">
        <v>49</v>
      </c>
      <c r="D21" s="2">
        <v>1</v>
      </c>
      <c r="E21" s="5" t="s">
        <v>47</v>
      </c>
      <c r="G21" s="2">
        <v>12.5</v>
      </c>
      <c r="H21" s="2">
        <v>0</v>
      </c>
      <c r="I21" s="2">
        <f t="shared" si="0"/>
        <v>12.5</v>
      </c>
    </row>
    <row r="22" spans="1:9" x14ac:dyDescent="0.25">
      <c r="A22" s="2" t="s">
        <v>50</v>
      </c>
      <c r="B22" s="2" t="s">
        <v>51</v>
      </c>
      <c r="C22" s="2" t="s">
        <v>52</v>
      </c>
      <c r="D22" s="2">
        <v>5</v>
      </c>
      <c r="E22" s="4" t="s">
        <v>39</v>
      </c>
      <c r="G22" s="2">
        <v>2.6</v>
      </c>
      <c r="H22" s="2">
        <v>0</v>
      </c>
      <c r="I22" s="2">
        <f t="shared" si="0"/>
        <v>13</v>
      </c>
    </row>
    <row r="23" spans="1:9" x14ac:dyDescent="0.25">
      <c r="A23" s="2" t="s">
        <v>54</v>
      </c>
      <c r="B23" s="2" t="s">
        <v>53</v>
      </c>
      <c r="C23" s="2" t="s">
        <v>55</v>
      </c>
      <c r="D23" s="2">
        <v>1</v>
      </c>
      <c r="E23" s="3" t="s">
        <v>4</v>
      </c>
      <c r="G23" s="2">
        <v>1</v>
      </c>
      <c r="H23" s="2">
        <v>0</v>
      </c>
      <c r="I23" s="2">
        <f t="shared" si="0"/>
        <v>1</v>
      </c>
    </row>
    <row r="27" spans="1:9" ht="30" x14ac:dyDescent="0.25">
      <c r="H27" s="22" t="s">
        <v>2</v>
      </c>
      <c r="I27" s="9" t="s">
        <v>210</v>
      </c>
    </row>
    <row r="28" spans="1:9" x14ac:dyDescent="0.25">
      <c r="H28" s="79" t="s">
        <v>9</v>
      </c>
      <c r="I28" s="22" t="s">
        <v>60</v>
      </c>
    </row>
    <row r="29" spans="1:9" x14ac:dyDescent="0.25">
      <c r="H29" s="79" t="s">
        <v>4</v>
      </c>
      <c r="I29" s="22" t="s">
        <v>62</v>
      </c>
    </row>
    <row r="30" spans="1:9" x14ac:dyDescent="0.25">
      <c r="H30" s="79" t="s">
        <v>39</v>
      </c>
      <c r="I30" s="22" t="s">
        <v>59</v>
      </c>
    </row>
    <row r="31" spans="1:9" x14ac:dyDescent="0.25">
      <c r="H31" s="79" t="s">
        <v>57</v>
      </c>
      <c r="I31" s="22" t="s">
        <v>58</v>
      </c>
    </row>
    <row r="32" spans="1:9" x14ac:dyDescent="0.25">
      <c r="H32" s="79" t="s">
        <v>47</v>
      </c>
      <c r="I32" s="22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7B8-8DE2-4191-B568-C06F13C4628A}">
  <dimension ref="A1:I19"/>
  <sheetViews>
    <sheetView workbookViewId="0">
      <selection activeCell="I19" sqref="I19"/>
    </sheetView>
  </sheetViews>
  <sheetFormatPr defaultRowHeight="15" x14ac:dyDescent="0.25"/>
  <cols>
    <col min="1" max="1" width="35.28515625" customWidth="1"/>
    <col min="2" max="2" width="24.42578125" bestFit="1" customWidth="1"/>
    <col min="3" max="3" width="27.28515625" bestFit="1" customWidth="1"/>
    <col min="4" max="4" width="8.7109375" bestFit="1" customWidth="1"/>
    <col min="5" max="5" width="7.85546875" bestFit="1" customWidth="1"/>
    <col min="6" max="6" width="7.28515625" bestFit="1" customWidth="1"/>
    <col min="7" max="7" width="7.7109375" bestFit="1" customWidth="1"/>
    <col min="8" max="8" width="8.85546875" bestFit="1" customWidth="1"/>
    <col min="9" max="9" width="9" bestFit="1" customWidth="1"/>
  </cols>
  <sheetData>
    <row r="1" spans="1:9" ht="45" x14ac:dyDescent="0.25">
      <c r="A1" s="2" t="s">
        <v>29</v>
      </c>
      <c r="B1" s="1" t="s">
        <v>0</v>
      </c>
      <c r="C1" s="1" t="s">
        <v>56</v>
      </c>
      <c r="D1" s="1" t="s">
        <v>1</v>
      </c>
      <c r="E1" s="1" t="s">
        <v>2</v>
      </c>
      <c r="F1" s="1"/>
      <c r="G1" s="1" t="s">
        <v>13</v>
      </c>
      <c r="H1" s="1" t="s">
        <v>7</v>
      </c>
      <c r="I1" s="2" t="s">
        <v>11</v>
      </c>
    </row>
    <row r="2" spans="1:9" x14ac:dyDescent="0.25">
      <c r="A2" s="2" t="s">
        <v>18</v>
      </c>
      <c r="B2" s="2" t="s">
        <v>3</v>
      </c>
      <c r="C2" s="2" t="s">
        <v>18</v>
      </c>
      <c r="D2" s="2">
        <v>1</v>
      </c>
      <c r="E2" s="3" t="s">
        <v>4</v>
      </c>
      <c r="F2" s="3" t="s">
        <v>5</v>
      </c>
      <c r="G2" s="2">
        <v>30</v>
      </c>
      <c r="H2" s="2">
        <v>0</v>
      </c>
      <c r="I2" s="2">
        <f t="shared" ref="I2:I17" si="0">D2*(G2+H2)</f>
        <v>30</v>
      </c>
    </row>
    <row r="3" spans="1:9" x14ac:dyDescent="0.25">
      <c r="A3" s="2" t="s">
        <v>18</v>
      </c>
      <c r="B3" s="2" t="s">
        <v>3</v>
      </c>
      <c r="C3" s="2" t="s">
        <v>18</v>
      </c>
      <c r="D3" s="2">
        <v>1</v>
      </c>
      <c r="E3" s="3" t="s">
        <v>4</v>
      </c>
      <c r="F3" s="3" t="s">
        <v>6</v>
      </c>
      <c r="G3" s="2">
        <v>20</v>
      </c>
      <c r="H3" s="2">
        <v>0</v>
      </c>
      <c r="I3" s="2">
        <f t="shared" si="0"/>
        <v>20</v>
      </c>
    </row>
    <row r="4" spans="1:9" x14ac:dyDescent="0.25">
      <c r="A4" s="2" t="s">
        <v>18</v>
      </c>
      <c r="B4" s="2" t="s">
        <v>3</v>
      </c>
      <c r="C4" s="2" t="s">
        <v>18</v>
      </c>
      <c r="D4" s="2">
        <v>1</v>
      </c>
      <c r="E4" s="3" t="s">
        <v>4</v>
      </c>
      <c r="F4" s="2" t="s">
        <v>8</v>
      </c>
      <c r="G4" s="2">
        <v>40</v>
      </c>
      <c r="H4" s="2">
        <v>0</v>
      </c>
      <c r="I4" s="2">
        <f t="shared" si="0"/>
        <v>40</v>
      </c>
    </row>
    <row r="5" spans="1:9" x14ac:dyDescent="0.25">
      <c r="A5" s="2" t="s">
        <v>18</v>
      </c>
      <c r="B5" s="2" t="s">
        <v>3</v>
      </c>
      <c r="C5" s="2" t="s">
        <v>18</v>
      </c>
      <c r="D5" s="2">
        <v>1</v>
      </c>
      <c r="E5" s="3" t="s">
        <v>9</v>
      </c>
      <c r="F5" s="3" t="s">
        <v>10</v>
      </c>
      <c r="G5" s="2">
        <v>400</v>
      </c>
      <c r="H5" s="2">
        <v>0</v>
      </c>
      <c r="I5" s="2">
        <f t="shared" si="0"/>
        <v>400</v>
      </c>
    </row>
    <row r="6" spans="1:9" x14ac:dyDescent="0.25">
      <c r="A6" s="2" t="s">
        <v>28</v>
      </c>
      <c r="B6" s="2" t="s">
        <v>12</v>
      </c>
      <c r="C6" s="2" t="s">
        <v>19</v>
      </c>
      <c r="D6" s="2">
        <v>1</v>
      </c>
      <c r="E6" s="3" t="s">
        <v>4</v>
      </c>
      <c r="F6" s="2"/>
      <c r="G6" s="2">
        <v>55</v>
      </c>
      <c r="H6" s="2">
        <v>0</v>
      </c>
      <c r="I6" s="2">
        <f t="shared" si="0"/>
        <v>55</v>
      </c>
    </row>
    <row r="7" spans="1:9" x14ac:dyDescent="0.25">
      <c r="A7" s="2" t="s">
        <v>28</v>
      </c>
      <c r="B7" s="2" t="s">
        <v>14</v>
      </c>
      <c r="C7" s="2" t="s">
        <v>17</v>
      </c>
      <c r="D7" s="2">
        <v>8</v>
      </c>
      <c r="E7" s="3" t="s">
        <v>4</v>
      </c>
      <c r="F7" s="2"/>
      <c r="G7" s="2">
        <v>1</v>
      </c>
      <c r="H7" s="2">
        <v>0</v>
      </c>
      <c r="I7" s="2">
        <f t="shared" si="0"/>
        <v>8</v>
      </c>
    </row>
    <row r="8" spans="1:9" x14ac:dyDescent="0.25">
      <c r="A8" s="2" t="s">
        <v>28</v>
      </c>
      <c r="B8" s="2" t="s">
        <v>14</v>
      </c>
      <c r="C8" s="2" t="s">
        <v>17</v>
      </c>
      <c r="D8" s="2">
        <v>1</v>
      </c>
      <c r="E8" s="3" t="s">
        <v>4</v>
      </c>
      <c r="F8" s="2"/>
      <c r="G8" s="2">
        <v>55</v>
      </c>
      <c r="H8" s="2">
        <v>0</v>
      </c>
      <c r="I8" s="2">
        <f t="shared" si="0"/>
        <v>55</v>
      </c>
    </row>
    <row r="9" spans="1:9" x14ac:dyDescent="0.25">
      <c r="A9" s="2" t="s">
        <v>27</v>
      </c>
      <c r="B9" s="2" t="s">
        <v>15</v>
      </c>
      <c r="C9" s="2" t="s">
        <v>16</v>
      </c>
      <c r="D9" s="2">
        <v>1</v>
      </c>
      <c r="E9" s="3" t="s">
        <v>4</v>
      </c>
      <c r="F9" s="2"/>
      <c r="G9" s="2">
        <v>5</v>
      </c>
      <c r="H9" s="2">
        <v>0</v>
      </c>
      <c r="I9" s="2">
        <f t="shared" si="0"/>
        <v>5</v>
      </c>
    </row>
    <row r="10" spans="1:9" x14ac:dyDescent="0.25">
      <c r="A10" s="2" t="s">
        <v>21</v>
      </c>
      <c r="B10" s="2" t="s">
        <v>20</v>
      </c>
      <c r="C10" s="2" t="s">
        <v>21</v>
      </c>
      <c r="D10" s="2">
        <v>1</v>
      </c>
      <c r="E10" s="3" t="s">
        <v>4</v>
      </c>
      <c r="F10" s="2"/>
      <c r="G10" s="2">
        <v>1</v>
      </c>
      <c r="H10" s="2">
        <v>0</v>
      </c>
      <c r="I10" s="2">
        <f t="shared" si="0"/>
        <v>1</v>
      </c>
    </row>
    <row r="11" spans="1:9" x14ac:dyDescent="0.25">
      <c r="A11" s="2" t="s">
        <v>26</v>
      </c>
      <c r="B11" s="2" t="s">
        <v>22</v>
      </c>
      <c r="C11" s="2" t="s">
        <v>23</v>
      </c>
      <c r="D11" s="2">
        <v>1</v>
      </c>
      <c r="E11" s="3" t="s">
        <v>4</v>
      </c>
      <c r="F11" s="2"/>
      <c r="G11" s="2">
        <v>5</v>
      </c>
      <c r="H11" s="2">
        <v>0</v>
      </c>
      <c r="I11" s="2">
        <f t="shared" si="0"/>
        <v>5</v>
      </c>
    </row>
    <row r="12" spans="1:9" x14ac:dyDescent="0.25">
      <c r="A12" s="2" t="s">
        <v>26</v>
      </c>
      <c r="B12" s="2" t="s">
        <v>24</v>
      </c>
      <c r="C12" s="2" t="s">
        <v>25</v>
      </c>
      <c r="D12" s="2">
        <v>1</v>
      </c>
      <c r="E12" s="3" t="s">
        <v>4</v>
      </c>
      <c r="F12" s="2"/>
      <c r="G12" s="2">
        <v>1</v>
      </c>
      <c r="H12" s="2">
        <v>0</v>
      </c>
      <c r="I12" s="2">
        <f t="shared" si="0"/>
        <v>1</v>
      </c>
    </row>
    <row r="13" spans="1:9" x14ac:dyDescent="0.25">
      <c r="A13" s="2" t="s">
        <v>30</v>
      </c>
      <c r="B13" s="2" t="s">
        <v>31</v>
      </c>
      <c r="C13" s="2" t="s">
        <v>34</v>
      </c>
      <c r="D13" s="2">
        <v>3</v>
      </c>
      <c r="E13" s="3" t="s">
        <v>4</v>
      </c>
      <c r="F13" s="2"/>
      <c r="G13" s="2">
        <v>3</v>
      </c>
      <c r="H13" s="2">
        <v>0</v>
      </c>
      <c r="I13" s="2">
        <f t="shared" si="0"/>
        <v>9</v>
      </c>
    </row>
    <row r="14" spans="1:9" x14ac:dyDescent="0.25">
      <c r="A14" s="1" t="s">
        <v>33</v>
      </c>
      <c r="B14" s="2" t="s">
        <v>35</v>
      </c>
      <c r="C14" s="2" t="s">
        <v>36</v>
      </c>
      <c r="D14" s="2">
        <v>3</v>
      </c>
      <c r="E14" s="3" t="s">
        <v>4</v>
      </c>
      <c r="F14" s="2"/>
      <c r="G14" s="2">
        <v>3</v>
      </c>
      <c r="H14" s="2">
        <v>0</v>
      </c>
      <c r="I14" s="2">
        <f t="shared" si="0"/>
        <v>9</v>
      </c>
    </row>
    <row r="15" spans="1:9" x14ac:dyDescent="0.25">
      <c r="A15" s="1" t="s">
        <v>33</v>
      </c>
      <c r="B15" s="2" t="s">
        <v>40</v>
      </c>
      <c r="C15" s="2" t="s">
        <v>41</v>
      </c>
      <c r="D15" s="2">
        <v>3</v>
      </c>
      <c r="E15" s="3" t="s">
        <v>4</v>
      </c>
      <c r="F15" s="2"/>
      <c r="G15" s="2">
        <v>60</v>
      </c>
      <c r="H15" s="2">
        <v>0</v>
      </c>
      <c r="I15" s="2">
        <f t="shared" si="0"/>
        <v>180</v>
      </c>
    </row>
    <row r="16" spans="1:9" x14ac:dyDescent="0.25">
      <c r="A16" s="1" t="s">
        <v>33</v>
      </c>
      <c r="B16" s="2" t="s">
        <v>42</v>
      </c>
      <c r="C16" s="2" t="s">
        <v>43</v>
      </c>
      <c r="D16" s="2">
        <v>1</v>
      </c>
      <c r="E16" s="3" t="s">
        <v>4</v>
      </c>
      <c r="F16" s="2"/>
      <c r="G16" s="2">
        <v>24</v>
      </c>
      <c r="H16" s="2">
        <v>0</v>
      </c>
      <c r="I16" s="2">
        <f t="shared" si="0"/>
        <v>24</v>
      </c>
    </row>
    <row r="17" spans="1:9" x14ac:dyDescent="0.25">
      <c r="A17" s="2" t="s">
        <v>54</v>
      </c>
      <c r="B17" s="2" t="s">
        <v>53</v>
      </c>
      <c r="C17" s="2" t="s">
        <v>55</v>
      </c>
      <c r="D17" s="2">
        <v>1</v>
      </c>
      <c r="E17" s="3" t="s">
        <v>4</v>
      </c>
      <c r="F17" s="2"/>
      <c r="G17" s="2">
        <v>1</v>
      </c>
      <c r="H17" s="2">
        <v>0</v>
      </c>
      <c r="I17" s="2">
        <f t="shared" si="0"/>
        <v>1</v>
      </c>
    </row>
    <row r="19" spans="1:9" x14ac:dyDescent="0.25">
      <c r="I19" s="2">
        <f>SUM(I2:I17)</f>
        <v>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A6EC-C7E7-411F-83E4-CDD5F3564E0B}">
  <dimension ref="A1:G13"/>
  <sheetViews>
    <sheetView zoomScale="115" zoomScaleNormal="115" workbookViewId="0">
      <selection activeCell="D20" sqref="D20"/>
    </sheetView>
  </sheetViews>
  <sheetFormatPr defaultRowHeight="15" x14ac:dyDescent="0.25"/>
  <cols>
    <col min="1" max="1" width="9.140625" style="8"/>
    <col min="2" max="2" width="20" style="8" bestFit="1" customWidth="1"/>
    <col min="3" max="3" width="20" style="8" customWidth="1"/>
    <col min="4" max="4" width="18.5703125" style="8" bestFit="1" customWidth="1"/>
    <col min="5" max="5" width="9.42578125" style="8" bestFit="1" customWidth="1"/>
    <col min="6" max="6" width="16.42578125" style="8" bestFit="1" customWidth="1"/>
    <col min="7" max="7" width="10.42578125" style="8" bestFit="1" customWidth="1"/>
    <col min="8" max="16384" width="9.140625" style="8"/>
  </cols>
  <sheetData>
    <row r="1" spans="1:7" ht="15.75" thickBot="1" x14ac:dyDescent="0.3"/>
    <row r="2" spans="1:7" ht="30" x14ac:dyDescent="0.25">
      <c r="B2" s="13" t="s">
        <v>90</v>
      </c>
      <c r="C2" s="14" t="s">
        <v>89</v>
      </c>
      <c r="D2" s="14" t="s">
        <v>66</v>
      </c>
      <c r="E2" s="14" t="s">
        <v>102</v>
      </c>
      <c r="F2" s="73" t="s">
        <v>77</v>
      </c>
      <c r="G2" s="74"/>
    </row>
    <row r="3" spans="1:7" ht="30" x14ac:dyDescent="0.25">
      <c r="B3" s="15" t="s">
        <v>18</v>
      </c>
      <c r="C3" s="9" t="s">
        <v>3</v>
      </c>
      <c r="D3" s="9" t="s">
        <v>109</v>
      </c>
      <c r="E3" s="9" t="s">
        <v>103</v>
      </c>
      <c r="F3" s="9" t="s">
        <v>101</v>
      </c>
      <c r="G3" s="16" t="s">
        <v>100</v>
      </c>
    </row>
    <row r="4" spans="1:7" ht="30" x14ac:dyDescent="0.25">
      <c r="A4" s="8" t="s">
        <v>63</v>
      </c>
      <c r="B4" s="15" t="s">
        <v>28</v>
      </c>
      <c r="C4" s="9" t="s">
        <v>14</v>
      </c>
      <c r="D4" s="9" t="s">
        <v>108</v>
      </c>
      <c r="E4" s="10" t="s">
        <v>69</v>
      </c>
      <c r="F4" s="9" t="s">
        <v>99</v>
      </c>
      <c r="G4" s="16" t="s">
        <v>98</v>
      </c>
    </row>
    <row r="5" spans="1:7" x14ac:dyDescent="0.25">
      <c r="B5" s="15" t="s">
        <v>27</v>
      </c>
      <c r="C5" s="9" t="s">
        <v>15</v>
      </c>
      <c r="D5" s="9" t="s">
        <v>107</v>
      </c>
      <c r="E5" s="11" t="s">
        <v>70</v>
      </c>
      <c r="F5" s="9" t="s">
        <v>94</v>
      </c>
      <c r="G5" s="16" t="s">
        <v>95</v>
      </c>
    </row>
    <row r="6" spans="1:7" x14ac:dyDescent="0.25">
      <c r="B6" s="15" t="s">
        <v>64</v>
      </c>
      <c r="C6" s="9" t="s">
        <v>20</v>
      </c>
      <c r="D6" s="9" t="s">
        <v>106</v>
      </c>
      <c r="E6" s="12" t="s">
        <v>71</v>
      </c>
      <c r="F6" s="9" t="s">
        <v>96</v>
      </c>
      <c r="G6" s="16" t="s">
        <v>97</v>
      </c>
    </row>
    <row r="7" spans="1:7" x14ac:dyDescent="0.25">
      <c r="B7" s="15" t="s">
        <v>26</v>
      </c>
      <c r="C7" s="9" t="s">
        <v>22</v>
      </c>
      <c r="D7" s="9" t="s">
        <v>105</v>
      </c>
      <c r="E7" s="12" t="s">
        <v>71</v>
      </c>
      <c r="F7" s="9" t="s">
        <v>92</v>
      </c>
      <c r="G7" s="16" t="s">
        <v>93</v>
      </c>
    </row>
    <row r="8" spans="1:7" x14ac:dyDescent="0.25">
      <c r="A8" s="8" t="s">
        <v>67</v>
      </c>
      <c r="B8" s="15" t="s">
        <v>65</v>
      </c>
      <c r="C8" s="9" t="s">
        <v>48</v>
      </c>
      <c r="D8" s="9" t="s">
        <v>104</v>
      </c>
      <c r="E8" s="11" t="s">
        <v>70</v>
      </c>
      <c r="F8" s="9" t="s">
        <v>91</v>
      </c>
      <c r="G8" s="16" t="s">
        <v>88</v>
      </c>
    </row>
    <row r="9" spans="1:7" x14ac:dyDescent="0.25">
      <c r="A9" s="8" t="s">
        <v>68</v>
      </c>
      <c r="B9" s="15" t="s">
        <v>72</v>
      </c>
      <c r="C9" s="9" t="s">
        <v>51</v>
      </c>
      <c r="D9" s="9" t="s">
        <v>104</v>
      </c>
      <c r="E9" s="11" t="s">
        <v>70</v>
      </c>
      <c r="F9" s="9" t="s">
        <v>78</v>
      </c>
      <c r="G9" s="16" t="s">
        <v>83</v>
      </c>
    </row>
    <row r="10" spans="1:7" x14ac:dyDescent="0.25">
      <c r="B10" s="15" t="s">
        <v>73</v>
      </c>
      <c r="C10" s="9" t="s">
        <v>51</v>
      </c>
      <c r="D10" s="9" t="s">
        <v>104</v>
      </c>
      <c r="E10" s="11" t="s">
        <v>70</v>
      </c>
      <c r="F10" s="9" t="s">
        <v>79</v>
      </c>
      <c r="G10" s="16" t="s">
        <v>84</v>
      </c>
    </row>
    <row r="11" spans="1:7" x14ac:dyDescent="0.25">
      <c r="B11" s="15" t="s">
        <v>74</v>
      </c>
      <c r="C11" s="9" t="s">
        <v>51</v>
      </c>
      <c r="D11" s="9" t="s">
        <v>104</v>
      </c>
      <c r="E11" s="11" t="s">
        <v>70</v>
      </c>
      <c r="F11" s="9" t="s">
        <v>80</v>
      </c>
      <c r="G11" s="16" t="s">
        <v>85</v>
      </c>
    </row>
    <row r="12" spans="1:7" x14ac:dyDescent="0.25">
      <c r="B12" s="15" t="s">
        <v>75</v>
      </c>
      <c r="C12" s="9" t="s">
        <v>51</v>
      </c>
      <c r="D12" s="9" t="s">
        <v>104</v>
      </c>
      <c r="E12" s="11" t="s">
        <v>70</v>
      </c>
      <c r="F12" s="9" t="s">
        <v>81</v>
      </c>
      <c r="G12" s="16" t="s">
        <v>86</v>
      </c>
    </row>
    <row r="13" spans="1:7" ht="15.75" thickBot="1" x14ac:dyDescent="0.3">
      <c r="B13" s="17" t="s">
        <v>76</v>
      </c>
      <c r="C13" s="18" t="s">
        <v>51</v>
      </c>
      <c r="D13" s="18" t="s">
        <v>104</v>
      </c>
      <c r="E13" s="19" t="s">
        <v>70</v>
      </c>
      <c r="F13" s="18" t="s">
        <v>82</v>
      </c>
      <c r="G13" s="20" t="s">
        <v>87</v>
      </c>
    </row>
  </sheetData>
  <mergeCells count="1">
    <mergeCell ref="F2:G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234ED-6689-4204-8DC5-3DD9236ABFBC}">
  <dimension ref="B1:N32"/>
  <sheetViews>
    <sheetView topLeftCell="A4" workbookViewId="0">
      <selection activeCell="E27" sqref="E27"/>
    </sheetView>
  </sheetViews>
  <sheetFormatPr defaultRowHeight="15" x14ac:dyDescent="0.25"/>
  <cols>
    <col min="2" max="2" width="8.140625" customWidth="1"/>
    <col min="4" max="4" width="10.7109375" customWidth="1"/>
    <col min="5" max="5" width="17.28515625" customWidth="1"/>
    <col min="6" max="6" width="11.42578125" customWidth="1"/>
    <col min="12" max="12" width="17" customWidth="1"/>
    <col min="13" max="13" width="11.140625" customWidth="1"/>
  </cols>
  <sheetData>
    <row r="1" spans="2:14" x14ac:dyDescent="0.25">
      <c r="B1" s="75" t="s">
        <v>127</v>
      </c>
      <c r="C1" s="75"/>
      <c r="D1" s="75"/>
      <c r="E1" s="75"/>
      <c r="F1" s="75"/>
      <c r="J1" s="75" t="s">
        <v>128</v>
      </c>
      <c r="K1" s="75"/>
      <c r="L1" s="75"/>
      <c r="M1" s="75"/>
      <c r="N1" s="75"/>
    </row>
    <row r="2" spans="2:14" ht="15.75" thickBot="1" x14ac:dyDescent="0.3">
      <c r="B2" s="21"/>
      <c r="C2" s="21"/>
      <c r="D2" s="21"/>
      <c r="E2" s="21"/>
      <c r="F2" s="21"/>
      <c r="J2" s="21"/>
      <c r="K2" s="21"/>
      <c r="L2" s="21"/>
      <c r="M2" s="21"/>
      <c r="N2" s="21"/>
    </row>
    <row r="3" spans="2:14" ht="15.75" thickBot="1" x14ac:dyDescent="0.3">
      <c r="B3" s="76" t="s">
        <v>198</v>
      </c>
      <c r="C3" s="77"/>
      <c r="D3" s="77"/>
      <c r="E3" s="77"/>
      <c r="F3" s="78"/>
      <c r="J3" s="76" t="s">
        <v>198</v>
      </c>
      <c r="K3" s="77"/>
      <c r="L3" s="77"/>
      <c r="M3" s="77"/>
      <c r="N3" s="78"/>
    </row>
    <row r="4" spans="2:14" ht="45.75" thickBot="1" x14ac:dyDescent="0.3">
      <c r="B4" s="67" t="s">
        <v>124</v>
      </c>
      <c r="C4" s="68" t="s">
        <v>120</v>
      </c>
      <c r="D4" s="68" t="s">
        <v>121</v>
      </c>
      <c r="E4" s="68" t="s">
        <v>200</v>
      </c>
      <c r="F4" s="70" t="s">
        <v>122</v>
      </c>
      <c r="J4" s="67" t="s">
        <v>124</v>
      </c>
      <c r="K4" s="68" t="s">
        <v>120</v>
      </c>
      <c r="L4" s="68" t="s">
        <v>121</v>
      </c>
      <c r="M4" s="69" t="s">
        <v>200</v>
      </c>
      <c r="N4" s="70" t="s">
        <v>122</v>
      </c>
    </row>
    <row r="5" spans="2:14" x14ac:dyDescent="0.25">
      <c r="B5" s="42">
        <v>1</v>
      </c>
      <c r="C5" s="43" t="s">
        <v>110</v>
      </c>
      <c r="D5" s="44" t="s">
        <v>174</v>
      </c>
      <c r="E5" s="44" t="s">
        <v>173</v>
      </c>
      <c r="F5" s="45" t="s">
        <v>126</v>
      </c>
      <c r="J5" s="42">
        <v>1</v>
      </c>
      <c r="K5" s="43" t="s">
        <v>110</v>
      </c>
      <c r="L5" s="63" t="s">
        <v>123</v>
      </c>
      <c r="M5" s="63" t="s">
        <v>123</v>
      </c>
      <c r="N5" s="64" t="s">
        <v>195</v>
      </c>
    </row>
    <row r="6" spans="2:14" x14ac:dyDescent="0.25">
      <c r="B6" s="23">
        <v>2</v>
      </c>
      <c r="C6" s="37" t="s">
        <v>111</v>
      </c>
      <c r="D6" s="61" t="s">
        <v>123</v>
      </c>
      <c r="E6" s="61" t="s">
        <v>123</v>
      </c>
      <c r="F6" s="62" t="s">
        <v>123</v>
      </c>
      <c r="J6" s="23">
        <v>2</v>
      </c>
      <c r="K6" s="37" t="s">
        <v>111</v>
      </c>
      <c r="L6" s="22" t="s">
        <v>201</v>
      </c>
      <c r="M6" s="54" t="s">
        <v>187</v>
      </c>
      <c r="N6" s="24" t="s">
        <v>194</v>
      </c>
    </row>
    <row r="7" spans="2:14" x14ac:dyDescent="0.25">
      <c r="B7" s="23">
        <v>3</v>
      </c>
      <c r="C7" s="30" t="s">
        <v>112</v>
      </c>
      <c r="D7" s="22" t="s">
        <v>175</v>
      </c>
      <c r="E7" s="22" t="s">
        <v>173</v>
      </c>
      <c r="F7" s="24" t="s">
        <v>125</v>
      </c>
      <c r="J7" s="23">
        <v>3</v>
      </c>
      <c r="K7" s="30" t="s">
        <v>112</v>
      </c>
      <c r="L7" s="61" t="s">
        <v>123</v>
      </c>
      <c r="M7" s="61" t="s">
        <v>123</v>
      </c>
      <c r="N7" s="62" t="s">
        <v>123</v>
      </c>
    </row>
    <row r="8" spans="2:14" x14ac:dyDescent="0.25">
      <c r="B8" s="23">
        <v>4</v>
      </c>
      <c r="C8" s="31" t="s">
        <v>113</v>
      </c>
      <c r="D8" s="61" t="s">
        <v>123</v>
      </c>
      <c r="E8" s="61" t="s">
        <v>123</v>
      </c>
      <c r="F8" s="62" t="s">
        <v>123</v>
      </c>
      <c r="J8" s="23">
        <v>4</v>
      </c>
      <c r="K8" s="31" t="s">
        <v>113</v>
      </c>
      <c r="L8" s="22" t="s">
        <v>202</v>
      </c>
      <c r="M8" s="54" t="s">
        <v>187</v>
      </c>
      <c r="N8" s="24" t="s">
        <v>196</v>
      </c>
    </row>
    <row r="9" spans="2:14" ht="15.75" thickBot="1" x14ac:dyDescent="0.3">
      <c r="B9" s="25">
        <v>5</v>
      </c>
      <c r="C9" s="38" t="s">
        <v>114</v>
      </c>
      <c r="D9" s="65" t="s">
        <v>123</v>
      </c>
      <c r="E9" s="65" t="s">
        <v>123</v>
      </c>
      <c r="F9" s="66" t="s">
        <v>123</v>
      </c>
      <c r="J9" s="25">
        <v>5</v>
      </c>
      <c r="K9" s="38" t="s">
        <v>114</v>
      </c>
      <c r="L9" s="26" t="s">
        <v>203</v>
      </c>
      <c r="M9" s="55" t="s">
        <v>187</v>
      </c>
      <c r="N9" s="27" t="s">
        <v>197</v>
      </c>
    </row>
    <row r="10" spans="2:14" ht="15.75" thickBot="1" x14ac:dyDescent="0.3">
      <c r="B10" s="2"/>
      <c r="J10" s="2"/>
    </row>
    <row r="11" spans="2:14" ht="15.75" thickBot="1" x14ac:dyDescent="0.3">
      <c r="B11" s="76" t="s">
        <v>199</v>
      </c>
      <c r="C11" s="77"/>
      <c r="D11" s="77"/>
      <c r="E11" s="77"/>
      <c r="F11" s="78"/>
      <c r="J11" s="76" t="s">
        <v>199</v>
      </c>
      <c r="K11" s="77"/>
      <c r="L11" s="77"/>
      <c r="M11" s="77"/>
      <c r="N11" s="78"/>
    </row>
    <row r="12" spans="2:14" ht="45.75" thickBot="1" x14ac:dyDescent="0.3">
      <c r="B12" s="67" t="s">
        <v>124</v>
      </c>
      <c r="C12" s="68" t="s">
        <v>120</v>
      </c>
      <c r="D12" s="68" t="s">
        <v>121</v>
      </c>
      <c r="E12" s="69" t="s">
        <v>200</v>
      </c>
      <c r="F12" s="70" t="s">
        <v>122</v>
      </c>
      <c r="J12" s="67" t="s">
        <v>124</v>
      </c>
      <c r="K12" s="68" t="s">
        <v>120</v>
      </c>
      <c r="L12" s="68" t="s">
        <v>121</v>
      </c>
      <c r="M12" s="69" t="s">
        <v>200</v>
      </c>
      <c r="N12" s="70" t="s">
        <v>122</v>
      </c>
    </row>
    <row r="13" spans="2:14" x14ac:dyDescent="0.25">
      <c r="B13" s="42">
        <v>6</v>
      </c>
      <c r="C13" s="43" t="s">
        <v>110</v>
      </c>
      <c r="D13" s="44" t="s">
        <v>153</v>
      </c>
      <c r="E13" s="56" t="s">
        <v>176</v>
      </c>
      <c r="F13" s="45" t="s">
        <v>133</v>
      </c>
      <c r="J13" s="42">
        <v>6</v>
      </c>
      <c r="K13" s="43" t="s">
        <v>110</v>
      </c>
      <c r="L13" s="44" t="s">
        <v>188</v>
      </c>
      <c r="M13" s="56" t="s">
        <v>44</v>
      </c>
      <c r="N13" s="45" t="s">
        <v>181</v>
      </c>
    </row>
    <row r="14" spans="2:14" x14ac:dyDescent="0.25">
      <c r="B14" s="23">
        <v>7</v>
      </c>
      <c r="C14" s="37" t="s">
        <v>111</v>
      </c>
      <c r="D14" s="28" t="s">
        <v>158</v>
      </c>
      <c r="E14" s="57" t="s">
        <v>176</v>
      </c>
      <c r="F14" s="24" t="s">
        <v>134</v>
      </c>
      <c r="J14" s="23">
        <v>7</v>
      </c>
      <c r="K14" s="37" t="s">
        <v>111</v>
      </c>
      <c r="L14" s="22" t="s">
        <v>189</v>
      </c>
      <c r="M14" s="58" t="s">
        <v>44</v>
      </c>
      <c r="N14" s="24" t="s">
        <v>182</v>
      </c>
    </row>
    <row r="15" spans="2:14" x14ac:dyDescent="0.25">
      <c r="B15" s="23">
        <v>8</v>
      </c>
      <c r="C15" s="30" t="s">
        <v>112</v>
      </c>
      <c r="D15" s="28" t="s">
        <v>163</v>
      </c>
      <c r="E15" s="57" t="s">
        <v>176</v>
      </c>
      <c r="F15" s="24" t="s">
        <v>135</v>
      </c>
      <c r="J15" s="23">
        <v>8</v>
      </c>
      <c r="K15" s="30" t="s">
        <v>112</v>
      </c>
      <c r="L15" s="22" t="s">
        <v>190</v>
      </c>
      <c r="M15" s="58" t="s">
        <v>44</v>
      </c>
      <c r="N15" s="24" t="s">
        <v>183</v>
      </c>
    </row>
    <row r="16" spans="2:14" ht="15.75" thickBot="1" x14ac:dyDescent="0.3">
      <c r="B16" s="25">
        <v>9</v>
      </c>
      <c r="C16" s="46" t="s">
        <v>113</v>
      </c>
      <c r="D16" s="26" t="s">
        <v>168</v>
      </c>
      <c r="E16" s="55" t="s">
        <v>176</v>
      </c>
      <c r="F16" s="27" t="s">
        <v>136</v>
      </c>
      <c r="J16" s="23">
        <v>9</v>
      </c>
      <c r="K16" s="31" t="s">
        <v>113</v>
      </c>
      <c r="L16" s="22" t="s">
        <v>191</v>
      </c>
      <c r="M16" s="58" t="s">
        <v>44</v>
      </c>
      <c r="N16" s="24" t="s">
        <v>184</v>
      </c>
    </row>
    <row r="17" spans="2:14" x14ac:dyDescent="0.25">
      <c r="B17" s="42">
        <v>10</v>
      </c>
      <c r="C17" s="47" t="s">
        <v>114</v>
      </c>
      <c r="D17" s="44" t="s">
        <v>154</v>
      </c>
      <c r="E17" s="56" t="s">
        <v>177</v>
      </c>
      <c r="F17" s="45" t="s">
        <v>137</v>
      </c>
      <c r="J17" s="23">
        <v>10</v>
      </c>
      <c r="K17" s="32" t="s">
        <v>114</v>
      </c>
      <c r="L17" s="22" t="s">
        <v>192</v>
      </c>
      <c r="M17" s="58" t="s">
        <v>44</v>
      </c>
      <c r="N17" s="24" t="s">
        <v>185</v>
      </c>
    </row>
    <row r="18" spans="2:14" ht="15.75" thickBot="1" x14ac:dyDescent="0.3">
      <c r="B18" s="23">
        <v>11</v>
      </c>
      <c r="C18" s="33" t="s">
        <v>115</v>
      </c>
      <c r="D18" s="28" t="s">
        <v>159</v>
      </c>
      <c r="E18" s="57" t="s">
        <v>177</v>
      </c>
      <c r="F18" s="24" t="s">
        <v>138</v>
      </c>
      <c r="J18" s="25">
        <v>11</v>
      </c>
      <c r="K18" s="53" t="s">
        <v>115</v>
      </c>
      <c r="L18" s="26" t="s">
        <v>193</v>
      </c>
      <c r="M18" s="59" t="s">
        <v>44</v>
      </c>
      <c r="N18" s="27" t="s">
        <v>186</v>
      </c>
    </row>
    <row r="19" spans="2:14" x14ac:dyDescent="0.25">
      <c r="B19" s="23">
        <v>12</v>
      </c>
      <c r="C19" s="34" t="s">
        <v>116</v>
      </c>
      <c r="D19" s="28" t="s">
        <v>164</v>
      </c>
      <c r="E19" s="57" t="s">
        <v>177</v>
      </c>
      <c r="F19" s="24" t="s">
        <v>139</v>
      </c>
      <c r="J19" s="42">
        <v>12</v>
      </c>
      <c r="K19" s="60" t="s">
        <v>116</v>
      </c>
      <c r="L19" s="63" t="s">
        <v>123</v>
      </c>
      <c r="M19" s="63" t="s">
        <v>123</v>
      </c>
      <c r="N19" s="64" t="s">
        <v>123</v>
      </c>
    </row>
    <row r="20" spans="2:14" ht="15.75" thickBot="1" x14ac:dyDescent="0.3">
      <c r="B20" s="25">
        <v>13</v>
      </c>
      <c r="C20" s="48" t="s">
        <v>117</v>
      </c>
      <c r="D20" s="26" t="s">
        <v>169</v>
      </c>
      <c r="E20" s="55" t="s">
        <v>177</v>
      </c>
      <c r="F20" s="27" t="s">
        <v>140</v>
      </c>
      <c r="J20" s="23">
        <v>13</v>
      </c>
      <c r="K20" s="35" t="s">
        <v>117</v>
      </c>
      <c r="L20" s="61" t="s">
        <v>123</v>
      </c>
      <c r="M20" s="61" t="s">
        <v>123</v>
      </c>
      <c r="N20" s="62" t="s">
        <v>123</v>
      </c>
    </row>
    <row r="21" spans="2:14" x14ac:dyDescent="0.25">
      <c r="B21" s="42">
        <v>14</v>
      </c>
      <c r="C21" s="49" t="s">
        <v>118</v>
      </c>
      <c r="D21" s="44" t="s">
        <v>155</v>
      </c>
      <c r="E21" s="56" t="s">
        <v>178</v>
      </c>
      <c r="F21" s="45" t="s">
        <v>141</v>
      </c>
      <c r="J21" s="23">
        <v>14</v>
      </c>
      <c r="K21" s="36" t="s">
        <v>118</v>
      </c>
      <c r="L21" s="61" t="s">
        <v>123</v>
      </c>
      <c r="M21" s="61" t="s">
        <v>123</v>
      </c>
      <c r="N21" s="62" t="s">
        <v>123</v>
      </c>
    </row>
    <row r="22" spans="2:14" x14ac:dyDescent="0.25">
      <c r="B22" s="23">
        <v>15</v>
      </c>
      <c r="C22" s="22" t="s">
        <v>119</v>
      </c>
      <c r="D22" s="28" t="s">
        <v>160</v>
      </c>
      <c r="E22" s="57" t="s">
        <v>178</v>
      </c>
      <c r="F22" s="24" t="s">
        <v>142</v>
      </c>
      <c r="J22" s="23">
        <v>15</v>
      </c>
      <c r="K22" s="22" t="s">
        <v>119</v>
      </c>
      <c r="L22" s="61" t="s">
        <v>123</v>
      </c>
      <c r="M22" s="61" t="s">
        <v>123</v>
      </c>
      <c r="N22" s="62" t="s">
        <v>123</v>
      </c>
    </row>
    <row r="23" spans="2:14" x14ac:dyDescent="0.25">
      <c r="B23" s="23">
        <v>16</v>
      </c>
      <c r="C23" s="29" t="s">
        <v>110</v>
      </c>
      <c r="D23" s="28" t="s">
        <v>165</v>
      </c>
      <c r="E23" s="57" t="s">
        <v>178</v>
      </c>
      <c r="F23" s="24" t="s">
        <v>143</v>
      </c>
      <c r="J23" s="23">
        <v>16</v>
      </c>
      <c r="K23" s="29" t="s">
        <v>110</v>
      </c>
      <c r="L23" s="71" t="s">
        <v>207</v>
      </c>
      <c r="M23" s="71" t="s">
        <v>208</v>
      </c>
      <c r="N23" s="72" t="s">
        <v>132</v>
      </c>
    </row>
    <row r="24" spans="2:14" ht="15.75" thickBot="1" x14ac:dyDescent="0.3">
      <c r="B24" s="25">
        <v>17</v>
      </c>
      <c r="C24" s="50" t="s">
        <v>111</v>
      </c>
      <c r="D24" s="26" t="s">
        <v>170</v>
      </c>
      <c r="E24" s="55" t="s">
        <v>178</v>
      </c>
      <c r="F24" s="27" t="s">
        <v>144</v>
      </c>
      <c r="J24" s="23">
        <v>17</v>
      </c>
      <c r="K24" s="37" t="s">
        <v>111</v>
      </c>
      <c r="L24" s="61" t="s">
        <v>123</v>
      </c>
      <c r="M24" s="61" t="s">
        <v>123</v>
      </c>
      <c r="N24" s="62" t="s">
        <v>123</v>
      </c>
    </row>
    <row r="25" spans="2:14" x14ac:dyDescent="0.25">
      <c r="B25" s="42">
        <v>18</v>
      </c>
      <c r="C25" s="52" t="s">
        <v>112</v>
      </c>
      <c r="D25" s="44" t="s">
        <v>156</v>
      </c>
      <c r="E25" s="56" t="s">
        <v>179</v>
      </c>
      <c r="F25" s="45" t="s">
        <v>145</v>
      </c>
      <c r="J25" s="23">
        <v>18</v>
      </c>
      <c r="K25" s="30" t="s">
        <v>112</v>
      </c>
      <c r="L25" s="71" t="s">
        <v>206</v>
      </c>
      <c r="M25" s="71" t="s">
        <v>208</v>
      </c>
      <c r="N25" s="72" t="s">
        <v>131</v>
      </c>
    </row>
    <row r="26" spans="2:14" x14ac:dyDescent="0.25">
      <c r="B26" s="23">
        <v>19</v>
      </c>
      <c r="C26" s="31" t="s">
        <v>113</v>
      </c>
      <c r="D26" s="28" t="s">
        <v>161</v>
      </c>
      <c r="E26" s="57" t="s">
        <v>179</v>
      </c>
      <c r="F26" s="24" t="s">
        <v>146</v>
      </c>
      <c r="J26" s="23">
        <v>19</v>
      </c>
      <c r="K26" s="31" t="s">
        <v>113</v>
      </c>
      <c r="L26" s="71" t="s">
        <v>204</v>
      </c>
      <c r="M26" s="71" t="s">
        <v>208</v>
      </c>
      <c r="N26" s="72" t="s">
        <v>129</v>
      </c>
    </row>
    <row r="27" spans="2:14" x14ac:dyDescent="0.25">
      <c r="B27" s="23">
        <v>20</v>
      </c>
      <c r="C27" s="32" t="s">
        <v>114</v>
      </c>
      <c r="D27" s="28" t="s">
        <v>166</v>
      </c>
      <c r="E27" s="57" t="s">
        <v>179</v>
      </c>
      <c r="F27" s="24" t="s">
        <v>147</v>
      </c>
      <c r="J27" s="23">
        <v>20</v>
      </c>
      <c r="K27" s="32" t="s">
        <v>114</v>
      </c>
      <c r="L27" s="71" t="s">
        <v>205</v>
      </c>
      <c r="M27" s="71" t="s">
        <v>208</v>
      </c>
      <c r="N27" s="72" t="s">
        <v>130</v>
      </c>
    </row>
    <row r="28" spans="2:14" ht="15.75" thickBot="1" x14ac:dyDescent="0.3">
      <c r="B28" s="25">
        <v>21</v>
      </c>
      <c r="C28" s="53" t="s">
        <v>115</v>
      </c>
      <c r="D28" s="26" t="s">
        <v>171</v>
      </c>
      <c r="E28" s="55" t="s">
        <v>179</v>
      </c>
      <c r="F28" s="27" t="s">
        <v>148</v>
      </c>
      <c r="J28" s="23">
        <v>21</v>
      </c>
      <c r="K28" s="33" t="s">
        <v>115</v>
      </c>
      <c r="L28" s="61" t="s">
        <v>123</v>
      </c>
      <c r="M28" s="61" t="s">
        <v>123</v>
      </c>
      <c r="N28" s="62" t="s">
        <v>123</v>
      </c>
    </row>
    <row r="29" spans="2:14" x14ac:dyDescent="0.25">
      <c r="B29" s="39">
        <v>22</v>
      </c>
      <c r="C29" s="51" t="s">
        <v>116</v>
      </c>
      <c r="D29" s="40" t="s">
        <v>157</v>
      </c>
      <c r="E29" s="58" t="s">
        <v>180</v>
      </c>
      <c r="F29" s="41" t="s">
        <v>149</v>
      </c>
      <c r="J29" s="23">
        <v>22</v>
      </c>
      <c r="K29" s="34" t="s">
        <v>116</v>
      </c>
      <c r="L29" s="61" t="s">
        <v>123</v>
      </c>
      <c r="M29" s="61" t="s">
        <v>123</v>
      </c>
      <c r="N29" s="62" t="s">
        <v>123</v>
      </c>
    </row>
    <row r="30" spans="2:14" x14ac:dyDescent="0.25">
      <c r="B30" s="23">
        <v>23</v>
      </c>
      <c r="C30" s="35" t="s">
        <v>117</v>
      </c>
      <c r="D30" s="28" t="s">
        <v>162</v>
      </c>
      <c r="E30" s="57" t="s">
        <v>180</v>
      </c>
      <c r="F30" s="24" t="s">
        <v>150</v>
      </c>
      <c r="J30" s="23">
        <v>23</v>
      </c>
      <c r="K30" s="35" t="s">
        <v>117</v>
      </c>
      <c r="L30" s="61" t="s">
        <v>123</v>
      </c>
      <c r="M30" s="61" t="s">
        <v>123</v>
      </c>
      <c r="N30" s="62" t="s">
        <v>123</v>
      </c>
    </row>
    <row r="31" spans="2:14" x14ac:dyDescent="0.25">
      <c r="B31" s="23">
        <v>24</v>
      </c>
      <c r="C31" s="36" t="s">
        <v>118</v>
      </c>
      <c r="D31" s="28" t="s">
        <v>167</v>
      </c>
      <c r="E31" s="57" t="s">
        <v>180</v>
      </c>
      <c r="F31" s="24" t="s">
        <v>151</v>
      </c>
      <c r="J31" s="23">
        <v>24</v>
      </c>
      <c r="K31" s="36" t="s">
        <v>118</v>
      </c>
      <c r="L31" s="61" t="s">
        <v>123</v>
      </c>
      <c r="M31" s="61" t="s">
        <v>123</v>
      </c>
      <c r="N31" s="62" t="s">
        <v>123</v>
      </c>
    </row>
    <row r="32" spans="2:14" ht="15.75" thickBot="1" x14ac:dyDescent="0.3">
      <c r="B32" s="25">
        <v>25</v>
      </c>
      <c r="C32" s="26" t="s">
        <v>119</v>
      </c>
      <c r="D32" s="26" t="s">
        <v>172</v>
      </c>
      <c r="E32" s="55" t="s">
        <v>180</v>
      </c>
      <c r="F32" s="27" t="s">
        <v>152</v>
      </c>
      <c r="J32" s="25">
        <v>25</v>
      </c>
      <c r="K32" s="26" t="s">
        <v>119</v>
      </c>
      <c r="L32" s="65" t="s">
        <v>123</v>
      </c>
      <c r="M32" s="65" t="s">
        <v>123</v>
      </c>
      <c r="N32" s="66" t="s">
        <v>123</v>
      </c>
    </row>
  </sheetData>
  <mergeCells count="6">
    <mergeCell ref="B1:F1"/>
    <mergeCell ref="J1:N1"/>
    <mergeCell ref="B11:F11"/>
    <mergeCell ref="J11:N11"/>
    <mergeCell ref="B3:F3"/>
    <mergeCell ref="J3:N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Current consumption</vt:lpstr>
      <vt:lpstr>Аркуш2</vt:lpstr>
      <vt:lpstr>SPI-Speed</vt:lpstr>
      <vt:lpstr>Connector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Oleh Kotyk</dc:creator>
  <cp:lastModifiedBy>Oleh Kotyk</cp:lastModifiedBy>
  <dcterms:created xsi:type="dcterms:W3CDTF">2025-06-15T23:16:18Z</dcterms:created>
  <dcterms:modified xsi:type="dcterms:W3CDTF">2025-08-18T15:40:57Z</dcterms:modified>
</cp:coreProperties>
</file>